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enfangming\Desktop\"/>
    </mc:Choice>
  </mc:AlternateContent>
  <xr:revisionPtr revIDLastSave="0" documentId="13_ncr:1_{0675490C-AFF4-4905-8DF8-D0F98BF03633}" xr6:coauthVersionLast="47" xr6:coauthVersionMax="47" xr10:uidLastSave="{00000000-0000-0000-0000-000000000000}"/>
  <bookViews>
    <workbookView xWindow="6570" yWindow="442" windowWidth="16905" windowHeight="12623" xr2:uid="{00000000-000D-0000-FFFF-FFFF00000000}"/>
  </bookViews>
  <sheets>
    <sheet name="采购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6" i="1"/>
  <c r="I4" i="1"/>
  <c r="I7" i="1"/>
  <c r="I6" i="1"/>
  <c r="I5" i="1"/>
  <c r="G17" i="1" l="1"/>
  <c r="I9" i="1"/>
  <c r="G10" i="1"/>
  <c r="I8" i="1"/>
  <c r="I10" i="1" l="1"/>
  <c r="I17" i="1" s="1"/>
</calcChain>
</file>

<file path=xl/sharedStrings.xml><?xml version="1.0" encoding="utf-8"?>
<sst xmlns="http://schemas.openxmlformats.org/spreadsheetml/2006/main" count="37" uniqueCount="25">
  <si>
    <t>设计尺寸(mm)</t>
  </si>
  <si>
    <t>610 × 2020 × 670</t>
  </si>
  <si>
    <t>铝型材下料明细</t>
  </si>
  <si>
    <t>序号</t>
  </si>
  <si>
    <t>分类</t>
  </si>
  <si>
    <t>材料名称</t>
  </si>
  <si>
    <t>长度/尺寸(mm)</t>
  </si>
  <si>
    <t>配件明细</t>
  </si>
  <si>
    <t>单价</t>
    <phoneticPr fontId="6" type="noConversion"/>
  </si>
  <si>
    <t>小计</t>
    <phoneticPr fontId="6" type="noConversion"/>
  </si>
  <si>
    <t>数量</t>
    <phoneticPr fontId="6" type="noConversion"/>
  </si>
  <si>
    <t>31*14.5*37</t>
    <phoneticPr fontId="6" type="noConversion"/>
  </si>
  <si>
    <t>35*28*35</t>
    <phoneticPr fontId="6" type="noConversion"/>
  </si>
  <si>
    <t>欧标30</t>
    <phoneticPr fontId="6" type="noConversion"/>
  </si>
  <si>
    <t>型号</t>
    <phoneticPr fontId="6" type="noConversion"/>
  </si>
  <si>
    <t>连接件</t>
    <phoneticPr fontId="6" type="noConversion"/>
  </si>
  <si>
    <t>内置角槽</t>
    <phoneticPr fontId="6" type="noConversion"/>
  </si>
  <si>
    <t>3030本色角码</t>
    <phoneticPr fontId="6" type="noConversion"/>
  </si>
  <si>
    <t>配件</t>
    <phoneticPr fontId="6" type="noConversion"/>
  </si>
  <si>
    <t>3060铝本色端盖</t>
    <phoneticPr fontId="6" type="noConversion"/>
  </si>
  <si>
    <t>30*60</t>
    <phoneticPr fontId="6" type="noConversion"/>
  </si>
  <si>
    <t>厚度（mm）</t>
    <phoneticPr fontId="6" type="noConversion"/>
  </si>
  <si>
    <t>米重（kg/m）</t>
    <phoneticPr fontId="6" type="noConversion"/>
  </si>
  <si>
    <t>3030N1</t>
    <phoneticPr fontId="6" type="noConversion"/>
  </si>
  <si>
    <t>3060N2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</si>
</sst>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"/>
  </numFmts>
  <fonts count="7">
    <font>
      <sz val="11"/>
      <name val="Carlito"/>
    </font>
    <font>
      <sz val="10"/>
      <color rgb="FF1F2937"/>
      <name val="Microsoft YaHei"/>
      <family val="2"/>
      <charset val="134"/>
    </font>
    <font>
      <b/>
      <sz val="10"/>
      <color rgb="FF214E78"/>
      <name val="Microsoft YaHei"/>
      <family val="2"/>
      <charset val="134"/>
    </font>
    <font>
      <b/>
      <sz val="10"/>
      <color rgb="FF667085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214E78"/>
      </patternFill>
    </fill>
    <fill>
      <patternFill patternType="solid">
        <fgColor rgb="FFF6F9FD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/>
      <bottom style="thin">
        <color rgb="FF214E78"/>
      </bottom>
      <diagonal/>
    </border>
    <border>
      <left style="thin">
        <color rgb="FFFFFFFF"/>
      </left>
      <right style="thin">
        <color rgb="FFFFFFFF"/>
      </right>
      <top/>
      <bottom style="thin">
        <color rgb="FF214E78"/>
      </bottom>
      <diagonal/>
    </border>
    <border>
      <left style="thin">
        <color rgb="FFFFFFFF"/>
      </left>
      <right/>
      <top/>
      <bottom style="thin">
        <color rgb="FF214E78"/>
      </bottom>
      <diagonal/>
    </border>
    <border>
      <left/>
      <right/>
      <top style="medium">
        <color rgb="FF214E78"/>
      </top>
      <bottom style="double">
        <color rgb="FF214E78"/>
      </bottom>
      <diagonal/>
    </border>
    <border>
      <left style="thin">
        <color rgb="FFFFFFFF"/>
      </left>
      <right/>
      <top style="thin">
        <color rgb="FFD9E2F3"/>
      </top>
      <bottom style="thin">
        <color rgb="FF214E78"/>
      </bottom>
      <diagonal/>
    </border>
    <border>
      <left/>
      <right/>
      <top style="thin">
        <color rgb="FF214E78"/>
      </top>
      <bottom style="thin">
        <color rgb="FFD9E2F3"/>
      </bottom>
      <diagonal/>
    </border>
    <border>
      <left/>
      <right/>
      <top style="thin">
        <color rgb="FF214E78"/>
      </top>
      <bottom/>
      <diagonal/>
    </border>
    <border>
      <left/>
      <right/>
      <top/>
      <bottom style="medium">
        <color rgb="FF214E78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176" fontId="1" fillId="0" borderId="3" xfId="1" applyNumberFormat="1" applyFont="1" applyBorder="1" applyAlignment="1">
      <alignment horizontal="left" vertical="center"/>
    </xf>
    <xf numFmtId="2" fontId="1" fillId="0" borderId="1" xfId="1" applyNumberFormat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0" fontId="4" fillId="3" borderId="7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/>
    </xf>
    <xf numFmtId="176" fontId="1" fillId="0" borderId="1" xfId="1" applyNumberFormat="1" applyFont="1" applyBorder="1" applyAlignment="1">
      <alignment horizontal="left" vertical="center"/>
    </xf>
    <xf numFmtId="176" fontId="1" fillId="4" borderId="1" xfId="1" applyNumberFormat="1" applyFont="1" applyFill="1" applyBorder="1" applyAlignment="1">
      <alignment horizontal="left" vertical="center"/>
    </xf>
    <xf numFmtId="0" fontId="1" fillId="0" borderId="3" xfId="1" applyFont="1" applyBorder="1" applyAlignment="1">
      <alignment horizontal="left" vertical="center" wrapText="1"/>
    </xf>
    <xf numFmtId="0" fontId="1" fillId="4" borderId="3" xfId="1" applyFont="1" applyFill="1" applyBorder="1" applyAlignment="1">
      <alignment horizontal="left" vertical="center"/>
    </xf>
    <xf numFmtId="176" fontId="1" fillId="4" borderId="3" xfId="1" applyNumberFormat="1" applyFont="1" applyFill="1" applyBorder="1" applyAlignment="1">
      <alignment horizontal="left" vertical="center"/>
    </xf>
    <xf numFmtId="0" fontId="2" fillId="4" borderId="8" xfId="1" applyFont="1" applyFill="1" applyBorder="1" applyAlignment="1">
      <alignment horizontal="left" vertical="center"/>
    </xf>
    <xf numFmtId="176" fontId="2" fillId="4" borderId="8" xfId="1" applyNumberFormat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1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12" xfId="1" applyFont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4E78"/>
  </sheetPr>
  <dimension ref="A1:I18"/>
  <sheetViews>
    <sheetView showGridLines="0" tabSelected="1" workbookViewId="0">
      <selection activeCell="C11" sqref="C11"/>
    </sheetView>
  </sheetViews>
  <sheetFormatPr defaultRowHeight="13.5"/>
  <cols>
    <col min="1" max="1" width="13.125" style="24" customWidth="1"/>
    <col min="2" max="2" width="9.0625" style="24" customWidth="1"/>
    <col min="3" max="3" width="40.5" style="24" customWidth="1"/>
    <col min="4" max="4" width="14.375" style="24" customWidth="1"/>
    <col min="5" max="5" width="11.6875" style="24" customWidth="1"/>
    <col min="6" max="6" width="14.375" style="24" customWidth="1"/>
    <col min="7" max="7" width="7.0625" style="24" customWidth="1"/>
    <col min="8" max="8" width="9" style="24" customWidth="1"/>
    <col min="9" max="9" width="10.6875" style="24" customWidth="1"/>
    <col min="10" max="16384" width="9" style="24"/>
  </cols>
  <sheetData>
    <row r="1" spans="1:9" ht="22.25" customHeight="1">
      <c r="A1" s="3" t="s">
        <v>0</v>
      </c>
      <c r="B1" s="4" t="s">
        <v>1</v>
      </c>
      <c r="C1" s="3"/>
      <c r="D1" s="3"/>
      <c r="E1" s="3"/>
      <c r="F1" s="3"/>
      <c r="G1" s="7"/>
      <c r="H1" s="4"/>
      <c r="I1" s="8"/>
    </row>
    <row r="2" spans="1:9" ht="22.25" customHeight="1">
      <c r="A2" s="1" t="s">
        <v>2</v>
      </c>
      <c r="B2" s="2"/>
      <c r="C2" s="2"/>
      <c r="D2" s="2"/>
      <c r="E2" s="2"/>
      <c r="F2" s="2"/>
      <c r="G2" s="2"/>
      <c r="H2" s="2"/>
      <c r="I2" s="9"/>
    </row>
    <row r="3" spans="1:9" ht="22.25" customHeight="1">
      <c r="A3" s="10" t="s">
        <v>3</v>
      </c>
      <c r="B3" s="11" t="s">
        <v>4</v>
      </c>
      <c r="C3" s="22" t="s">
        <v>14</v>
      </c>
      <c r="D3" s="11" t="s">
        <v>6</v>
      </c>
      <c r="E3" s="11" t="s">
        <v>21</v>
      </c>
      <c r="F3" s="11" t="s">
        <v>22</v>
      </c>
      <c r="G3" s="11" t="s">
        <v>10</v>
      </c>
      <c r="H3" s="11" t="s">
        <v>8</v>
      </c>
      <c r="I3" s="12" t="s">
        <v>9</v>
      </c>
    </row>
    <row r="4" spans="1:9" ht="22.25" customHeight="1">
      <c r="A4" s="4">
        <v>1</v>
      </c>
      <c r="B4" s="4" t="s">
        <v>13</v>
      </c>
      <c r="C4" s="23">
        <v>3030</v>
      </c>
      <c r="D4" s="4">
        <v>490</v>
      </c>
      <c r="E4" s="25">
        <v>2</v>
      </c>
      <c r="F4" s="4">
        <v>0.85</v>
      </c>
      <c r="G4" s="14">
        <v>1</v>
      </c>
      <c r="H4" s="15">
        <v>13.65</v>
      </c>
      <c r="I4" s="16">
        <f t="shared" ref="I4:I9" si="0">G4*H4</f>
        <v>13.65</v>
      </c>
    </row>
    <row r="5" spans="1:9" ht="22.25" customHeight="1">
      <c r="A5" s="5">
        <v>2</v>
      </c>
      <c r="B5" s="5" t="s">
        <v>13</v>
      </c>
      <c r="C5" s="17">
        <v>3030</v>
      </c>
      <c r="D5" s="5">
        <v>550</v>
      </c>
      <c r="E5" s="26"/>
      <c r="F5" s="4">
        <v>0.85</v>
      </c>
      <c r="G5" s="18">
        <v>15</v>
      </c>
      <c r="H5" s="6">
        <v>15.3</v>
      </c>
      <c r="I5" s="19">
        <f t="shared" si="0"/>
        <v>229.5</v>
      </c>
    </row>
    <row r="6" spans="1:9" ht="22.25" customHeight="1">
      <c r="A6" s="5">
        <v>3</v>
      </c>
      <c r="B6" s="5" t="s">
        <v>13</v>
      </c>
      <c r="C6" s="17" t="s">
        <v>23</v>
      </c>
      <c r="D6" s="5">
        <v>610</v>
      </c>
      <c r="E6" s="26"/>
      <c r="F6" s="5">
        <v>0.87</v>
      </c>
      <c r="G6" s="18">
        <v>10</v>
      </c>
      <c r="H6" s="6">
        <v>17.25</v>
      </c>
      <c r="I6" s="19">
        <f t="shared" si="0"/>
        <v>172.5</v>
      </c>
    </row>
    <row r="7" spans="1:9" ht="22.25" customHeight="1">
      <c r="A7" s="5">
        <v>4</v>
      </c>
      <c r="B7" s="5" t="s">
        <v>13</v>
      </c>
      <c r="C7" s="17">
        <v>3060</v>
      </c>
      <c r="D7" s="5">
        <v>490</v>
      </c>
      <c r="E7" s="26"/>
      <c r="F7" s="5">
        <v>1.6</v>
      </c>
      <c r="G7" s="18">
        <v>2</v>
      </c>
      <c r="H7" s="6">
        <v>24.5</v>
      </c>
      <c r="I7" s="19">
        <f t="shared" si="0"/>
        <v>49</v>
      </c>
    </row>
    <row r="8" spans="1:9" ht="22.25" customHeight="1">
      <c r="A8" s="5">
        <v>5</v>
      </c>
      <c r="B8" s="5" t="s">
        <v>13</v>
      </c>
      <c r="C8" s="17">
        <v>3060</v>
      </c>
      <c r="D8" s="5">
        <v>610</v>
      </c>
      <c r="E8" s="26"/>
      <c r="F8" s="5">
        <v>1.6</v>
      </c>
      <c r="G8" s="18">
        <v>2</v>
      </c>
      <c r="H8" s="6">
        <v>31.48</v>
      </c>
      <c r="I8" s="19">
        <f t="shared" si="0"/>
        <v>62.96</v>
      </c>
    </row>
    <row r="9" spans="1:9" ht="22.25" customHeight="1" thickBot="1">
      <c r="A9" s="5">
        <v>6</v>
      </c>
      <c r="B9" s="5" t="s">
        <v>13</v>
      </c>
      <c r="C9" s="17" t="s">
        <v>24</v>
      </c>
      <c r="D9" s="5">
        <v>2020</v>
      </c>
      <c r="E9" s="27"/>
      <c r="F9" s="5">
        <v>1.62</v>
      </c>
      <c r="G9" s="18">
        <v>4</v>
      </c>
      <c r="H9" s="6">
        <v>103.66</v>
      </c>
      <c r="I9" s="19">
        <f t="shared" si="0"/>
        <v>414.64</v>
      </c>
    </row>
    <row r="10" spans="1:9" ht="22.25" customHeight="1" thickBot="1">
      <c r="A10" s="20"/>
      <c r="B10" s="20"/>
      <c r="C10" s="20"/>
      <c r="D10" s="20"/>
      <c r="E10" s="20"/>
      <c r="F10" s="20"/>
      <c r="G10" s="20">
        <f>SUM(G4:G9)</f>
        <v>34</v>
      </c>
      <c r="H10" s="20"/>
      <c r="I10" s="21">
        <f>SUM(I4:I9)</f>
        <v>942.25</v>
      </c>
    </row>
    <row r="11" spans="1:9" ht="22.25" customHeight="1" thickTop="1">
      <c r="A11" s="8"/>
      <c r="B11" s="8"/>
      <c r="C11" s="8"/>
      <c r="D11" s="8"/>
      <c r="E11" s="8"/>
      <c r="F11" s="8"/>
      <c r="G11" s="8"/>
      <c r="H11" s="8"/>
      <c r="I11" s="8"/>
    </row>
    <row r="12" spans="1:9" ht="22.25" customHeight="1">
      <c r="A12" s="1" t="s">
        <v>7</v>
      </c>
      <c r="B12" s="2"/>
      <c r="C12" s="2"/>
      <c r="D12" s="2"/>
      <c r="E12" s="2"/>
      <c r="F12" s="2"/>
      <c r="G12" s="2"/>
      <c r="H12" s="2"/>
      <c r="I12" s="9"/>
    </row>
    <row r="13" spans="1:9" ht="22.25" customHeight="1">
      <c r="A13" s="10" t="s">
        <v>3</v>
      </c>
      <c r="B13" s="11" t="s">
        <v>4</v>
      </c>
      <c r="C13" s="11" t="s">
        <v>5</v>
      </c>
      <c r="D13" s="11" t="s">
        <v>6</v>
      </c>
      <c r="E13" s="11"/>
      <c r="F13" s="11"/>
      <c r="G13" s="11" t="s">
        <v>10</v>
      </c>
      <c r="H13" s="11" t="s">
        <v>8</v>
      </c>
      <c r="I13" s="12" t="s">
        <v>9</v>
      </c>
    </row>
    <row r="14" spans="1:9" ht="22.25" customHeight="1">
      <c r="A14" s="4">
        <v>1</v>
      </c>
      <c r="B14" s="4" t="s">
        <v>15</v>
      </c>
      <c r="C14" s="13" t="s">
        <v>16</v>
      </c>
      <c r="D14" s="23" t="s">
        <v>11</v>
      </c>
      <c r="E14" s="13"/>
      <c r="F14" s="13"/>
      <c r="G14" s="14">
        <v>24</v>
      </c>
      <c r="H14" s="15">
        <v>1.82</v>
      </c>
      <c r="I14" s="19">
        <f>G14*H14</f>
        <v>43.68</v>
      </c>
    </row>
    <row r="15" spans="1:9" ht="22.25" customHeight="1">
      <c r="A15" s="5">
        <v>2</v>
      </c>
      <c r="B15" s="4" t="s">
        <v>15</v>
      </c>
      <c r="C15" s="17" t="s">
        <v>17</v>
      </c>
      <c r="D15" s="5" t="s">
        <v>12</v>
      </c>
      <c r="E15" s="5"/>
      <c r="F15" s="5"/>
      <c r="G15" s="18">
        <v>112</v>
      </c>
      <c r="H15" s="6">
        <v>2.9</v>
      </c>
      <c r="I15" s="19">
        <f>G15*H15</f>
        <v>324.8</v>
      </c>
    </row>
    <row r="16" spans="1:9" ht="22.25" customHeight="1" thickBot="1">
      <c r="A16" s="5">
        <v>3</v>
      </c>
      <c r="B16" s="4" t="s">
        <v>18</v>
      </c>
      <c r="C16" s="17" t="s">
        <v>19</v>
      </c>
      <c r="D16" s="5" t="s">
        <v>20</v>
      </c>
      <c r="E16" s="5"/>
      <c r="F16" s="5"/>
      <c r="G16" s="18">
        <v>4</v>
      </c>
      <c r="H16" s="6">
        <v>10</v>
      </c>
      <c r="I16" s="19">
        <f>G16*H16</f>
        <v>40</v>
      </c>
    </row>
    <row r="17" spans="1:9" ht="22.25" customHeight="1" thickBot="1">
      <c r="A17" s="20"/>
      <c r="B17" s="20"/>
      <c r="C17" s="20"/>
      <c r="D17" s="20"/>
      <c r="E17" s="20"/>
      <c r="F17" s="20"/>
      <c r="G17" s="20">
        <f>SUM(G14:G16)</f>
        <v>140</v>
      </c>
      <c r="H17" s="20"/>
      <c r="I17" s="21">
        <f>SUM(I10:I16)</f>
        <v>1350.73</v>
      </c>
    </row>
    <row r="18" spans="1:9" ht="22.25" customHeight="1" thickTop="1">
      <c r="A18" s="8"/>
      <c r="B18" s="8"/>
      <c r="C18" s="8"/>
      <c r="D18" s="8"/>
      <c r="E18" s="8"/>
      <c r="F18" s="8"/>
      <c r="G18" s="8"/>
      <c r="H18" s="8"/>
      <c r="I18" s="8"/>
    </row>
  </sheetData>
  <mergeCells count="1">
    <mergeCell ref="E4:E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方明 陈</cp:lastModifiedBy>
  <dcterms:modified xsi:type="dcterms:W3CDTF">2026-10-05T04:35:56Z</dcterms:modified>
</cp:coreProperties>
</file>